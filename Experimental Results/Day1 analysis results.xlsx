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<sst xmlns="http://schemas.openxmlformats.org/spreadsheetml/2006/main" count="148" uniqueCount="62">
  <si>
    <t/>
  </si>
  <si>
    <t>DAY 1</t>
  </si>
  <si>
    <t>Conditions</t>
  </si>
  <si>
    <t>Area fraction</t>
  </si>
  <si>
    <t>Area fraction vs volume ratio</t>
  </si>
  <si>
    <t>Continuity (what % of the area is one shape)</t>
  </si>
  <si>
    <t>File</t>
  </si>
  <si>
    <t>Sizes</t>
  </si>
  <si>
    <t>Ratio</t>
  </si>
  <si>
    <t>Tissue%</t>
  </si>
  <si>
    <t>Inert%</t>
  </si>
  <si>
    <t>Void%</t>
  </si>
  <si>
    <r>
      <rPr>
        <rFont val="Arial"/>
        <color theme="1"/>
      </rPr>
      <t xml:space="preserve">F </t>
    </r>
    <r>
      <rPr>
        <rFont val="Arial"/>
        <color rgb="FFE06666"/>
      </rPr>
      <t>over</t>
    </r>
    <r>
      <rPr>
        <rFont val="Arial"/>
        <color theme="1"/>
      </rPr>
      <t>/</t>
    </r>
    <r>
      <rPr>
        <rFont val="Arial"/>
        <color rgb="FF6FA8DC"/>
      </rPr>
      <t>under</t>
    </r>
    <r>
      <rPr>
        <rFont val="Arial"/>
        <color theme="1"/>
      </rPr>
      <t>?</t>
    </r>
  </si>
  <si>
    <r>
      <rPr>
        <rFont val="Arial"/>
        <color theme="1"/>
      </rPr>
      <t xml:space="preserve">I </t>
    </r>
    <r>
      <rPr>
        <rFont val="Arial"/>
        <color rgb="FFEA9999"/>
      </rPr>
      <t>over</t>
    </r>
    <r>
      <rPr>
        <rFont val="Arial"/>
        <color theme="1"/>
      </rPr>
      <t>/</t>
    </r>
    <r>
      <rPr>
        <rFont val="Arial"/>
        <color rgb="FF9FC5E8"/>
      </rPr>
      <t>under</t>
    </r>
    <r>
      <rPr>
        <rFont val="Arial"/>
        <color theme="1"/>
      </rPr>
      <t>?</t>
    </r>
  </si>
  <si>
    <t>T-cont%</t>
  </si>
  <si>
    <t>I-cont%</t>
  </si>
  <si>
    <t>V-cont%</t>
  </si>
  <si>
    <t>cropped_day1_LFLI02.ome_Z00_mask.png</t>
  </si>
  <si>
    <t>LF_LI</t>
  </si>
  <si>
    <t>cropped_day1_LFLI03.ome_Z00_mask.png</t>
  </si>
  <si>
    <t>cropped_day1_LFLI05.ome_Z00_mask.png</t>
  </si>
  <si>
    <t>cropped_day1_LFLI07.ome_Z00_mask.png</t>
  </si>
  <si>
    <t>cropped_day1_LFMI02.ome_Z00_mask.png</t>
  </si>
  <si>
    <t>LF_MI</t>
  </si>
  <si>
    <t>cropped_day1_LFMI03.ome_Z00_mask.png</t>
  </si>
  <si>
    <t>cropped_day1_LFMI05.ome_Z00_mask.png</t>
  </si>
  <si>
    <t>cropped_day1_LFMI07.ome_Z00_mask.png</t>
  </si>
  <si>
    <t>cropped_day1_LFSI02.ome_Z00_mask.png</t>
  </si>
  <si>
    <t>LF_SI</t>
  </si>
  <si>
    <t>cropped_day1_LFSI03.ome_Z00_mask.png</t>
  </si>
  <si>
    <t>cropped_day1_LFSI05.ome_Z00_mask.png</t>
  </si>
  <si>
    <t>cropped_day1_LFSI07.ome_Z00_mask.png</t>
  </si>
  <si>
    <t>cropped_day1_MFLI02.ome_Z00_mask.png</t>
  </si>
  <si>
    <t>MF_LI</t>
  </si>
  <si>
    <t>cropped_day1_MFLI03.ome_Z00_mask.png</t>
  </si>
  <si>
    <t>cropped_day1_MFLI05.ome_Z00_mask.png</t>
  </si>
  <si>
    <t>cropped_day1_MFLI07.ome_Z00_mask.png</t>
  </si>
  <si>
    <t>cropped_day1_MFMI02.ome_Z00_mask.png</t>
  </si>
  <si>
    <t>MF_MI</t>
  </si>
  <si>
    <t>cropped_day1_MFMI03.ome_Z00_mask.png</t>
  </si>
  <si>
    <t>cropped_day1_MFMI05.ome_Z00_mask.png</t>
  </si>
  <si>
    <t>cropped_day1_MFMI07.ome_Z00_mask.png</t>
  </si>
  <si>
    <t>cropped_day1_MFSI02.ome_Z00_mask.png</t>
  </si>
  <si>
    <t>MF_SI</t>
  </si>
  <si>
    <t>cropped_day1_MFSI03.ome_Z02_mask.png</t>
  </si>
  <si>
    <t>cropped_day1_MFSI05.ome_Z00_mask.png</t>
  </si>
  <si>
    <t>cropped_day1_MFSI07.ome_Z00_mask.png</t>
  </si>
  <si>
    <t>cropped_day1_SFLI02.ome_Z00_mask.png</t>
  </si>
  <si>
    <t>SF_LI</t>
  </si>
  <si>
    <t>cropped_day1_SFLI03.ome_Z00_mask.png</t>
  </si>
  <si>
    <t>cropped_day1_SFLI05.ome_Z00_mask.png</t>
  </si>
  <si>
    <t>cropped_day1_SFLI07.ome_Z00_mask.png</t>
  </si>
  <si>
    <t>cropped_day1_SFMI02.ome_Z04_mask.png</t>
  </si>
  <si>
    <t>SF_MI</t>
  </si>
  <si>
    <t>cropped_day1_SFMI03.ome_Z00_mask.png</t>
  </si>
  <si>
    <t>cropped_day1_SFMI05.ome_Z00_mask.png</t>
  </si>
  <si>
    <t>cropped_day1_SFMI07.ome_Z00_mask.png</t>
  </si>
  <si>
    <t>cropped_day1_SFSI02.ome_Z00_mask.png</t>
  </si>
  <si>
    <t>SF_SI</t>
  </si>
  <si>
    <t>cropped_day1_SFSI03.ome_Z00_mask.png</t>
  </si>
  <si>
    <t>cropped_day1_SFSI05.ome_Z00_mask.png</t>
  </si>
  <si>
    <t>cropped_day1_SFSI07.ome_Z00_mask.png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</si>
</sst>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D9D9D9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1" fillId="0" fontId="1" numFmtId="0" xfId="0" applyBorder="1" applyFont="1"/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9" xfId="0" applyAlignment="1" applyFont="1" applyNumberFormat="1">
      <alignment readingOrder="0"/>
    </xf>
    <xf borderId="4" fillId="0" fontId="1" numFmtId="10" xfId="0" applyAlignment="1" applyBorder="1" applyFont="1" applyNumberFormat="1">
      <alignment readingOrder="0"/>
    </xf>
    <xf borderId="4" fillId="0" fontId="2" numFmtId="4" xfId="0" applyAlignment="1" applyBorder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28575</xdr:rowOff>
    </xdr:from>
    <xdr:ext cx="6657975" cy="3962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6.5"/>
    <col customWidth="1" min="3" max="3" width="5.5"/>
    <col customWidth="1" min="4" max="4" width="13.38"/>
  </cols>
  <sheetData>
    <row r="2">
      <c r="S2" s="1" t="s">
        <v>0</v>
      </c>
      <c r="T2" s="1" t="s">
        <v>0</v>
      </c>
      <c r="U2" s="1" t="s">
        <v>0</v>
      </c>
      <c r="W2" s="1" t="s">
        <v>0</v>
      </c>
      <c r="X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</row>
    <row r="3"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>
      <c r="M4" s="1" t="s">
        <v>0</v>
      </c>
      <c r="N4" s="1" t="s">
        <v>0</v>
      </c>
      <c r="AA4" s="1"/>
      <c r="AB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>
      <c r="M5" s="1" t="s">
        <v>0</v>
      </c>
      <c r="N5" s="1" t="s">
        <v>0</v>
      </c>
      <c r="Z5" s="1"/>
      <c r="AA5" s="1"/>
      <c r="AB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>
      <c r="M6" s="1" t="s">
        <v>0</v>
      </c>
      <c r="N6" s="1" t="s">
        <v>0</v>
      </c>
      <c r="Z6" s="1"/>
      <c r="AA6" s="1"/>
      <c r="AB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>
      <c r="M7" s="1" t="s">
        <v>0</v>
      </c>
      <c r="N7" s="1" t="s">
        <v>0</v>
      </c>
      <c r="Z7" s="1"/>
      <c r="AA7" s="1"/>
      <c r="AB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>
      <c r="M8" s="1" t="s">
        <v>0</v>
      </c>
      <c r="N8" s="1" t="s">
        <v>0</v>
      </c>
      <c r="Z8" s="1"/>
      <c r="AA8" s="1"/>
      <c r="AB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>
      <c r="M9" s="1" t="s">
        <v>0</v>
      </c>
      <c r="N9" s="1" t="s">
        <v>0</v>
      </c>
      <c r="Z9" s="1"/>
      <c r="AA9" s="1"/>
      <c r="AB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>
      <c r="M10" s="1" t="s">
        <v>0</v>
      </c>
      <c r="N10" s="1" t="s">
        <v>0</v>
      </c>
      <c r="Z10" s="2"/>
      <c r="AA10" s="1"/>
      <c r="AB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>
      <c r="M11" s="1" t="s">
        <v>0</v>
      </c>
      <c r="N11" s="1" t="s">
        <v>0</v>
      </c>
      <c r="Z11" s="1"/>
      <c r="AA11" s="1"/>
      <c r="AB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>
      <c r="M12" s="1" t="s">
        <v>0</v>
      </c>
      <c r="N12" s="1" t="s">
        <v>0</v>
      </c>
      <c r="Z12" s="2"/>
      <c r="AA12" s="1"/>
      <c r="AB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>
      <c r="M13" s="1" t="s">
        <v>0</v>
      </c>
      <c r="N13" s="1" t="s">
        <v>0</v>
      </c>
      <c r="Z13" s="1"/>
      <c r="AA13" s="1"/>
      <c r="AB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</row>
    <row r="14">
      <c r="M14" s="1" t="s">
        <v>0</v>
      </c>
      <c r="N14" s="1" t="s">
        <v>0</v>
      </c>
      <c r="AA14" s="1"/>
      <c r="AB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>
      <c r="M15" s="1" t="s">
        <v>0</v>
      </c>
      <c r="N15" s="1" t="s">
        <v>0</v>
      </c>
      <c r="Z15" s="1" t="s">
        <v>0</v>
      </c>
      <c r="AB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>
      <c r="M16" s="1" t="s">
        <v>0</v>
      </c>
      <c r="N16" s="1" t="s">
        <v>0</v>
      </c>
      <c r="Z16" s="1"/>
      <c r="AA16" s="1"/>
      <c r="AB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>
      <c r="M17" s="1" t="s">
        <v>0</v>
      </c>
      <c r="N17" s="1" t="s">
        <v>0</v>
      </c>
      <c r="Z17" s="1"/>
      <c r="AA17" s="1"/>
      <c r="AB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>
      <c r="M18" s="1" t="s">
        <v>0</v>
      </c>
      <c r="N18" s="1" t="s">
        <v>0</v>
      </c>
      <c r="Z18" s="1"/>
      <c r="AA18" s="1"/>
      <c r="AB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>
      <c r="M19" s="1" t="s">
        <v>0</v>
      </c>
      <c r="N19" s="1" t="s">
        <v>0</v>
      </c>
      <c r="Z19" s="1"/>
      <c r="AA19" s="1"/>
      <c r="AB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>
      <c r="A20" s="1" t="s">
        <v>1</v>
      </c>
      <c r="M20" s="1" t="s">
        <v>0</v>
      </c>
      <c r="N20" s="1" t="s">
        <v>0</v>
      </c>
      <c r="Z20" s="1"/>
      <c r="AA20" s="1"/>
      <c r="AB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>
      <c r="B21" s="3" t="s">
        <v>2</v>
      </c>
      <c r="C21" s="4"/>
      <c r="D21" s="3" t="s">
        <v>3</v>
      </c>
      <c r="E21" s="5"/>
      <c r="F21" s="4"/>
      <c r="G21" s="3" t="s">
        <v>4</v>
      </c>
      <c r="H21" s="4"/>
      <c r="I21" s="3" t="s">
        <v>5</v>
      </c>
      <c r="J21" s="5"/>
      <c r="K21" s="5"/>
      <c r="Z21" s="1" t="s">
        <v>0</v>
      </c>
      <c r="AB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</row>
    <row r="22">
      <c r="A22" s="3" t="s">
        <v>6</v>
      </c>
      <c r="B22" s="3" t="s">
        <v>7</v>
      </c>
      <c r="C22" s="3" t="s">
        <v>8</v>
      </c>
      <c r="D22" s="6" t="s">
        <v>9</v>
      </c>
      <c r="E22" s="3" t="s">
        <v>10</v>
      </c>
      <c r="F22" s="7" t="s">
        <v>11</v>
      </c>
      <c r="G22" s="3" t="s">
        <v>12</v>
      </c>
      <c r="H22" s="3" t="s">
        <v>13</v>
      </c>
      <c r="I22" s="3" t="s">
        <v>14</v>
      </c>
      <c r="J22" s="3" t="s">
        <v>15</v>
      </c>
      <c r="K22" s="3" t="s">
        <v>16</v>
      </c>
      <c r="AA22" s="1"/>
      <c r="AB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>
      <c r="A23" s="1" t="s">
        <v>17</v>
      </c>
      <c r="B23" s="8" t="s">
        <v>18</v>
      </c>
      <c r="C23" s="9">
        <v>0.2</v>
      </c>
      <c r="D23" s="10">
        <v>0.2964</v>
      </c>
      <c r="E23" s="2">
        <v>0.4204</v>
      </c>
      <c r="F23" s="2">
        <v>0.2832</v>
      </c>
      <c r="G23" s="11">
        <f t="shared" ref="G23:G58" si="1">C23/D23</f>
        <v>0.6747638327</v>
      </c>
      <c r="H23" s="12">
        <f t="shared" ref="H23:H58" si="2">(1-C23)/E23</f>
        <v>1.902949572</v>
      </c>
      <c r="I23" s="10">
        <v>0.1518</v>
      </c>
      <c r="J23" s="2">
        <v>0.1817</v>
      </c>
      <c r="K23" s="2">
        <v>0.0787</v>
      </c>
      <c r="AB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>
      <c r="A24" s="1" t="s">
        <v>19</v>
      </c>
      <c r="B24" s="8" t="s">
        <v>18</v>
      </c>
      <c r="C24" s="9">
        <v>0.3</v>
      </c>
      <c r="D24" s="10">
        <v>0.4421</v>
      </c>
      <c r="E24" s="2">
        <v>0.3851</v>
      </c>
      <c r="F24" s="2">
        <v>0.1728</v>
      </c>
      <c r="G24" s="11">
        <f t="shared" si="1"/>
        <v>0.6785795069</v>
      </c>
      <c r="H24" s="12">
        <f t="shared" si="2"/>
        <v>1.817709686</v>
      </c>
      <c r="I24" s="10">
        <v>0.3757</v>
      </c>
      <c r="J24" s="2">
        <v>0.3691</v>
      </c>
      <c r="K24" s="2">
        <v>0.4474</v>
      </c>
      <c r="AB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>
      <c r="A25" s="1" t="s">
        <v>20</v>
      </c>
      <c r="B25" s="8" t="s">
        <v>18</v>
      </c>
      <c r="C25" s="9">
        <v>0.5</v>
      </c>
      <c r="D25" s="10">
        <v>0.473</v>
      </c>
      <c r="E25" s="2">
        <v>0.3378</v>
      </c>
      <c r="F25" s="2">
        <v>0.1892</v>
      </c>
      <c r="G25" s="11">
        <f t="shared" si="1"/>
        <v>1.057082452</v>
      </c>
      <c r="H25" s="12">
        <f t="shared" si="2"/>
        <v>1.480165779</v>
      </c>
      <c r="I25" s="10">
        <v>0.2145</v>
      </c>
      <c r="J25" s="2">
        <v>0.218</v>
      </c>
      <c r="K25" s="2">
        <v>0.1028</v>
      </c>
      <c r="AA25" s="1"/>
      <c r="AB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>
      <c r="A26" s="1" t="s">
        <v>21</v>
      </c>
      <c r="B26" s="8" t="s">
        <v>18</v>
      </c>
      <c r="C26" s="9">
        <v>0.7</v>
      </c>
      <c r="D26" s="10">
        <v>0.4992</v>
      </c>
      <c r="E26" s="2">
        <v>0.3286</v>
      </c>
      <c r="F26" s="2">
        <v>0.1722</v>
      </c>
      <c r="G26" s="11">
        <f t="shared" si="1"/>
        <v>1.40224359</v>
      </c>
      <c r="H26" s="12">
        <f t="shared" si="2"/>
        <v>0.9129640901</v>
      </c>
      <c r="I26" s="10">
        <v>0.2242</v>
      </c>
      <c r="J26" s="2">
        <v>0.1324</v>
      </c>
      <c r="K26" s="2">
        <v>0.1491</v>
      </c>
      <c r="AA26" s="1"/>
      <c r="AB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>
      <c r="A27" s="1" t="s">
        <v>22</v>
      </c>
      <c r="B27" s="8" t="s">
        <v>23</v>
      </c>
      <c r="C27" s="9">
        <v>0.2</v>
      </c>
      <c r="D27" s="10">
        <v>0.2367</v>
      </c>
      <c r="E27" s="2">
        <v>0.4328</v>
      </c>
      <c r="F27" s="2">
        <v>0.3306</v>
      </c>
      <c r="G27" s="11">
        <f t="shared" si="1"/>
        <v>0.8449514153</v>
      </c>
      <c r="H27" s="12">
        <f t="shared" si="2"/>
        <v>1.848428835</v>
      </c>
      <c r="I27" s="10">
        <v>0.1612</v>
      </c>
      <c r="J27" s="2">
        <v>0.4861</v>
      </c>
      <c r="K27" s="2">
        <v>0.1354</v>
      </c>
      <c r="Z27" s="1"/>
      <c r="AA27" s="1"/>
      <c r="AB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>
      <c r="A28" s="1" t="s">
        <v>24</v>
      </c>
      <c r="B28" s="8" t="s">
        <v>23</v>
      </c>
      <c r="C28" s="9">
        <v>0.3</v>
      </c>
      <c r="D28" s="10">
        <v>0.3264</v>
      </c>
      <c r="E28" s="2">
        <v>0.4229</v>
      </c>
      <c r="F28" s="2">
        <v>0.2507</v>
      </c>
      <c r="G28" s="11">
        <f t="shared" si="1"/>
        <v>0.9191176471</v>
      </c>
      <c r="H28" s="12">
        <f t="shared" si="2"/>
        <v>1.655237645</v>
      </c>
      <c r="I28" s="10">
        <v>0.186</v>
      </c>
      <c r="J28" s="2">
        <v>0.2644</v>
      </c>
      <c r="K28" s="2">
        <v>0.1693</v>
      </c>
      <c r="Z28" s="1"/>
      <c r="AA28" s="1"/>
      <c r="AB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>
      <c r="A29" s="1" t="s">
        <v>25</v>
      </c>
      <c r="B29" s="8" t="s">
        <v>23</v>
      </c>
      <c r="C29" s="9">
        <v>0.5</v>
      </c>
      <c r="D29" s="10">
        <v>0.4245</v>
      </c>
      <c r="E29" s="2">
        <v>0.3715</v>
      </c>
      <c r="F29" s="2">
        <v>0.204</v>
      </c>
      <c r="G29" s="11">
        <f t="shared" si="1"/>
        <v>1.177856302</v>
      </c>
      <c r="H29" s="12">
        <f t="shared" si="2"/>
        <v>1.34589502</v>
      </c>
      <c r="I29" s="10">
        <v>0.3245</v>
      </c>
      <c r="J29" s="2">
        <v>0.2503</v>
      </c>
      <c r="K29" s="2">
        <v>0.0656</v>
      </c>
      <c r="AA29" s="1"/>
      <c r="AB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>
      <c r="A30" s="1" t="s">
        <v>26</v>
      </c>
      <c r="B30" s="8" t="s">
        <v>23</v>
      </c>
      <c r="C30" s="9">
        <v>0.7</v>
      </c>
      <c r="D30" s="10">
        <v>0.5131</v>
      </c>
      <c r="E30" s="2">
        <v>0.3739</v>
      </c>
      <c r="F30" s="2">
        <v>0.113</v>
      </c>
      <c r="G30" s="11">
        <f t="shared" si="1"/>
        <v>1.36425648</v>
      </c>
      <c r="H30" s="12">
        <f t="shared" si="2"/>
        <v>0.8023535705</v>
      </c>
      <c r="I30" s="10">
        <v>0.3014</v>
      </c>
      <c r="J30" s="2">
        <v>0.179</v>
      </c>
      <c r="K30" s="2">
        <v>0.1586</v>
      </c>
      <c r="AA30" s="1"/>
      <c r="AB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>
      <c r="A31" s="1" t="s">
        <v>27</v>
      </c>
      <c r="B31" s="8" t="s">
        <v>28</v>
      </c>
      <c r="C31" s="9">
        <v>0.2</v>
      </c>
      <c r="D31" s="10">
        <v>0.3563</v>
      </c>
      <c r="E31" s="2">
        <v>0.4913</v>
      </c>
      <c r="F31" s="2">
        <v>0.1525</v>
      </c>
      <c r="G31" s="11">
        <f t="shared" si="1"/>
        <v>0.5613247264</v>
      </c>
      <c r="H31" s="12">
        <f t="shared" si="2"/>
        <v>1.628332994</v>
      </c>
      <c r="I31" s="10">
        <v>0.1107</v>
      </c>
      <c r="J31" s="2">
        <v>0.8944</v>
      </c>
      <c r="K31" s="2">
        <v>0.0967</v>
      </c>
      <c r="AB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>
      <c r="A32" s="1" t="s">
        <v>29</v>
      </c>
      <c r="B32" s="8" t="s">
        <v>28</v>
      </c>
      <c r="C32" s="9">
        <v>0.3</v>
      </c>
      <c r="D32" s="10">
        <v>0.2483</v>
      </c>
      <c r="E32" s="2">
        <v>0.4611</v>
      </c>
      <c r="F32" s="2">
        <v>0.2905</v>
      </c>
      <c r="G32" s="11">
        <f t="shared" si="1"/>
        <v>1.208215868</v>
      </c>
      <c r="H32" s="12">
        <f t="shared" si="2"/>
        <v>1.51810887</v>
      </c>
      <c r="I32" s="10">
        <v>0.1208</v>
      </c>
      <c r="J32" s="2">
        <v>0.224</v>
      </c>
      <c r="K32" s="2">
        <v>0.1871</v>
      </c>
      <c r="AA32" s="1"/>
      <c r="AB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>
      <c r="A33" s="1" t="s">
        <v>30</v>
      </c>
      <c r="B33" s="8" t="s">
        <v>28</v>
      </c>
      <c r="C33" s="9">
        <v>0.5</v>
      </c>
      <c r="D33" s="10">
        <v>0.4283</v>
      </c>
      <c r="E33" s="2">
        <v>0.4274</v>
      </c>
      <c r="F33" s="2">
        <v>0.1442</v>
      </c>
      <c r="G33" s="11">
        <f t="shared" si="1"/>
        <v>1.167406024</v>
      </c>
      <c r="H33" s="12">
        <f t="shared" si="2"/>
        <v>1.169864296</v>
      </c>
      <c r="I33" s="10">
        <v>0.1799</v>
      </c>
      <c r="J33" s="2">
        <v>0.4647</v>
      </c>
      <c r="K33" s="2">
        <v>0.0477</v>
      </c>
      <c r="AA33" s="1"/>
      <c r="AB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>
      <c r="A34" s="1" t="s">
        <v>31</v>
      </c>
      <c r="B34" s="8" t="s">
        <v>28</v>
      </c>
      <c r="C34" s="9">
        <v>0.7</v>
      </c>
      <c r="D34" s="10">
        <v>0.6878</v>
      </c>
      <c r="E34" s="2">
        <v>0.2889</v>
      </c>
      <c r="F34" s="2">
        <v>0.0233</v>
      </c>
      <c r="G34" s="11">
        <f t="shared" si="1"/>
        <v>1.017737714</v>
      </c>
      <c r="H34" s="12">
        <f t="shared" si="2"/>
        <v>1.038421599</v>
      </c>
      <c r="I34" s="10">
        <v>0.7535</v>
      </c>
      <c r="J34" s="2">
        <v>0.4594</v>
      </c>
      <c r="K34" s="2">
        <v>0.0988</v>
      </c>
      <c r="AA34" s="1"/>
      <c r="AB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>
      <c r="A35" s="1" t="s">
        <v>32</v>
      </c>
      <c r="B35" s="8" t="s">
        <v>33</v>
      </c>
      <c r="C35" s="9">
        <v>0.2</v>
      </c>
      <c r="D35" s="10">
        <v>0.3158</v>
      </c>
      <c r="E35" s="2">
        <v>0.4057</v>
      </c>
      <c r="F35" s="2">
        <v>0.2785</v>
      </c>
      <c r="G35" s="11">
        <f t="shared" si="1"/>
        <v>0.6333122229</v>
      </c>
      <c r="H35" s="12">
        <f t="shared" si="2"/>
        <v>1.971900419</v>
      </c>
      <c r="I35" s="10">
        <v>0.2087</v>
      </c>
      <c r="J35" s="2">
        <v>0.2307</v>
      </c>
      <c r="K35" s="2">
        <v>0.1093</v>
      </c>
      <c r="AB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>
      <c r="A36" s="1" t="s">
        <v>34</v>
      </c>
      <c r="B36" s="8" t="s">
        <v>33</v>
      </c>
      <c r="C36" s="9">
        <v>0.3</v>
      </c>
      <c r="D36" s="10">
        <v>0.3352</v>
      </c>
      <c r="E36" s="2">
        <v>0.3871</v>
      </c>
      <c r="F36" s="2">
        <v>0.2777</v>
      </c>
      <c r="G36" s="11">
        <f t="shared" si="1"/>
        <v>0.8949880668</v>
      </c>
      <c r="H36" s="12">
        <f t="shared" si="2"/>
        <v>1.808318264</v>
      </c>
      <c r="I36" s="10">
        <v>0.1796</v>
      </c>
      <c r="J36" s="2">
        <v>0.2928</v>
      </c>
      <c r="K36" s="2">
        <v>0.1379</v>
      </c>
      <c r="AB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>
      <c r="A37" s="1" t="s">
        <v>35</v>
      </c>
      <c r="B37" s="8" t="s">
        <v>33</v>
      </c>
      <c r="C37" s="9">
        <v>0.5</v>
      </c>
      <c r="D37" s="10">
        <v>0.4023</v>
      </c>
      <c r="E37" s="2">
        <v>0.3292</v>
      </c>
      <c r="F37" s="2">
        <v>0.2684</v>
      </c>
      <c r="G37" s="11">
        <f t="shared" si="1"/>
        <v>1.242853592</v>
      </c>
      <c r="H37" s="12">
        <f t="shared" si="2"/>
        <v>1.518833536</v>
      </c>
      <c r="I37" s="10">
        <v>0.2214</v>
      </c>
      <c r="J37" s="2">
        <v>0.1313</v>
      </c>
      <c r="K37" s="2">
        <v>0.1412</v>
      </c>
      <c r="AB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>
      <c r="A38" s="1" t="s">
        <v>36</v>
      </c>
      <c r="B38" s="8" t="s">
        <v>33</v>
      </c>
      <c r="C38" s="9">
        <v>0.7</v>
      </c>
      <c r="D38" s="10">
        <v>0.5743</v>
      </c>
      <c r="E38" s="2">
        <v>0.1791</v>
      </c>
      <c r="F38" s="2">
        <v>0.2466</v>
      </c>
      <c r="G38" s="11">
        <f t="shared" si="1"/>
        <v>1.218875152</v>
      </c>
      <c r="H38" s="12">
        <f t="shared" si="2"/>
        <v>1.675041876</v>
      </c>
      <c r="I38" s="10">
        <v>0.5233</v>
      </c>
      <c r="J38" s="2">
        <v>0.139</v>
      </c>
      <c r="K38" s="2">
        <v>0.1763</v>
      </c>
      <c r="AA38" s="1"/>
      <c r="AB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>
      <c r="A39" s="1" t="s">
        <v>37</v>
      </c>
      <c r="B39" s="8" t="s">
        <v>38</v>
      </c>
      <c r="C39" s="9">
        <v>0.2</v>
      </c>
      <c r="D39" s="10">
        <v>0.2863</v>
      </c>
      <c r="E39" s="2">
        <v>0.4493</v>
      </c>
      <c r="F39" s="2">
        <v>0.2644</v>
      </c>
      <c r="G39" s="11">
        <f t="shared" si="1"/>
        <v>0.6985679357</v>
      </c>
      <c r="H39" s="12">
        <f t="shared" si="2"/>
        <v>1.780547518</v>
      </c>
      <c r="I39" s="10">
        <v>0.241</v>
      </c>
      <c r="J39" s="2">
        <v>0.3856</v>
      </c>
      <c r="K39" s="2">
        <v>0.1327</v>
      </c>
      <c r="AA39" s="1"/>
      <c r="AB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>
      <c r="A40" s="1" t="s">
        <v>39</v>
      </c>
      <c r="B40" s="8" t="s">
        <v>38</v>
      </c>
      <c r="C40" s="9">
        <v>0.3</v>
      </c>
      <c r="D40" s="10">
        <v>0.2732</v>
      </c>
      <c r="E40" s="2">
        <v>0.4239</v>
      </c>
      <c r="F40" s="2">
        <v>0.3029</v>
      </c>
      <c r="G40" s="11">
        <f t="shared" si="1"/>
        <v>1.098096633</v>
      </c>
      <c r="H40" s="12">
        <f t="shared" si="2"/>
        <v>1.651332862</v>
      </c>
      <c r="I40" s="10">
        <v>0.0858</v>
      </c>
      <c r="J40" s="2">
        <v>0.261</v>
      </c>
      <c r="K40" s="2">
        <v>0.0758</v>
      </c>
    </row>
    <row r="41">
      <c r="A41" s="1" t="s">
        <v>40</v>
      </c>
      <c r="B41" s="8" t="s">
        <v>38</v>
      </c>
      <c r="C41" s="9">
        <v>0.5</v>
      </c>
      <c r="D41" s="10">
        <v>0.2702</v>
      </c>
      <c r="E41" s="2">
        <v>0.4124</v>
      </c>
      <c r="F41" s="2">
        <v>0.3174</v>
      </c>
      <c r="G41" s="11">
        <f t="shared" si="1"/>
        <v>1.850481125</v>
      </c>
      <c r="H41" s="12">
        <f t="shared" si="2"/>
        <v>1.212415131</v>
      </c>
      <c r="I41" s="10">
        <v>0.0983</v>
      </c>
      <c r="J41" s="2">
        <v>0.3309</v>
      </c>
      <c r="K41" s="2">
        <v>0.318</v>
      </c>
    </row>
    <row r="42">
      <c r="A42" s="1" t="s">
        <v>41</v>
      </c>
      <c r="B42" s="8" t="s">
        <v>38</v>
      </c>
      <c r="C42" s="9">
        <v>0.7</v>
      </c>
      <c r="D42" s="10">
        <v>0.5036</v>
      </c>
      <c r="E42" s="2">
        <v>0.2425</v>
      </c>
      <c r="F42" s="2">
        <v>0.2539</v>
      </c>
      <c r="G42" s="11">
        <f t="shared" si="1"/>
        <v>1.389992057</v>
      </c>
      <c r="H42" s="12">
        <f t="shared" si="2"/>
        <v>1.237113402</v>
      </c>
      <c r="I42" s="10">
        <v>0.6069</v>
      </c>
      <c r="J42" s="2">
        <v>0.0935</v>
      </c>
      <c r="K42" s="2">
        <v>0.0691</v>
      </c>
    </row>
    <row r="43">
      <c r="A43" s="1" t="s">
        <v>42</v>
      </c>
      <c r="B43" s="8" t="s">
        <v>43</v>
      </c>
      <c r="C43" s="9">
        <v>0.2</v>
      </c>
      <c r="D43" s="10">
        <v>0.3211</v>
      </c>
      <c r="E43" s="2">
        <v>0.4723</v>
      </c>
      <c r="F43" s="2">
        <v>0.2066</v>
      </c>
      <c r="G43" s="11">
        <f t="shared" si="1"/>
        <v>0.6228589225</v>
      </c>
      <c r="H43" s="12">
        <f t="shared" si="2"/>
        <v>1.693838662</v>
      </c>
      <c r="I43" s="10">
        <v>0.0841</v>
      </c>
      <c r="J43" s="2">
        <v>0.7867</v>
      </c>
      <c r="K43" s="2">
        <v>0.0281</v>
      </c>
    </row>
    <row r="44">
      <c r="A44" s="1" t="s">
        <v>44</v>
      </c>
      <c r="B44" s="8" t="s">
        <v>43</v>
      </c>
      <c r="C44" s="9">
        <v>0.3</v>
      </c>
      <c r="D44" s="10">
        <v>0.4312</v>
      </c>
      <c r="E44" s="2">
        <v>0.4199</v>
      </c>
      <c r="F44" s="2">
        <v>0.1489</v>
      </c>
      <c r="G44" s="11">
        <f t="shared" si="1"/>
        <v>0.6957328386</v>
      </c>
      <c r="H44" s="12">
        <f t="shared" si="2"/>
        <v>1.667063587</v>
      </c>
      <c r="I44" s="10">
        <v>0.1378</v>
      </c>
      <c r="J44" s="2">
        <v>0.4015</v>
      </c>
      <c r="K44" s="2">
        <v>0.0361</v>
      </c>
    </row>
    <row r="45">
      <c r="A45" s="1" t="s">
        <v>45</v>
      </c>
      <c r="B45" s="8" t="s">
        <v>43</v>
      </c>
      <c r="C45" s="9">
        <v>0.5</v>
      </c>
      <c r="D45" s="10">
        <v>0.5685</v>
      </c>
      <c r="E45" s="2">
        <v>0.245</v>
      </c>
      <c r="F45" s="2">
        <v>0.1865</v>
      </c>
      <c r="G45" s="11">
        <f t="shared" si="1"/>
        <v>0.8795074758</v>
      </c>
      <c r="H45" s="12">
        <f t="shared" si="2"/>
        <v>2.040816327</v>
      </c>
      <c r="I45" s="10">
        <v>0.6564</v>
      </c>
      <c r="J45" s="2">
        <v>0.163</v>
      </c>
      <c r="K45" s="2">
        <v>0.0908</v>
      </c>
    </row>
    <row r="46">
      <c r="A46" s="1" t="s">
        <v>46</v>
      </c>
      <c r="B46" s="8" t="s">
        <v>43</v>
      </c>
      <c r="C46" s="9">
        <v>0.7</v>
      </c>
      <c r="D46" s="10">
        <v>0.5798</v>
      </c>
      <c r="E46" s="2">
        <v>0.3003</v>
      </c>
      <c r="F46" s="2">
        <v>0.1199</v>
      </c>
      <c r="G46" s="11">
        <f t="shared" si="1"/>
        <v>1.207312867</v>
      </c>
      <c r="H46" s="12">
        <f t="shared" si="2"/>
        <v>0.999000999</v>
      </c>
      <c r="I46" s="10">
        <v>0.6383</v>
      </c>
      <c r="J46" s="2">
        <v>0.3861</v>
      </c>
      <c r="K46" s="2">
        <v>0.1313</v>
      </c>
    </row>
    <row r="47">
      <c r="A47" s="1" t="s">
        <v>47</v>
      </c>
      <c r="B47" s="8" t="s">
        <v>48</v>
      </c>
      <c r="C47" s="9">
        <v>0.2</v>
      </c>
      <c r="D47" s="10">
        <v>0.2487</v>
      </c>
      <c r="E47" s="2">
        <v>0.3818</v>
      </c>
      <c r="F47" s="2">
        <v>0.3695</v>
      </c>
      <c r="G47" s="11">
        <f t="shared" si="1"/>
        <v>0.8041817451</v>
      </c>
      <c r="H47" s="12">
        <f t="shared" si="2"/>
        <v>2.095337873</v>
      </c>
      <c r="I47" s="10">
        <v>0.1117</v>
      </c>
      <c r="J47" s="2">
        <v>0.1457</v>
      </c>
      <c r="K47" s="2">
        <v>0.1723</v>
      </c>
    </row>
    <row r="48">
      <c r="A48" s="1" t="s">
        <v>49</v>
      </c>
      <c r="B48" s="8" t="s">
        <v>48</v>
      </c>
      <c r="C48" s="9">
        <v>0.3</v>
      </c>
      <c r="D48" s="10">
        <v>0.208</v>
      </c>
      <c r="E48" s="2">
        <v>0.34</v>
      </c>
      <c r="F48" s="2">
        <v>0.452</v>
      </c>
      <c r="G48" s="11">
        <f t="shared" si="1"/>
        <v>1.442307692</v>
      </c>
      <c r="H48" s="12">
        <f t="shared" si="2"/>
        <v>2.058823529</v>
      </c>
      <c r="I48" s="10">
        <v>0.0629</v>
      </c>
      <c r="J48" s="2">
        <v>0.1313</v>
      </c>
      <c r="K48" s="2">
        <v>0.7444</v>
      </c>
    </row>
    <row r="49">
      <c r="A49" s="1" t="s">
        <v>50</v>
      </c>
      <c r="B49" s="8" t="s">
        <v>48</v>
      </c>
      <c r="C49" s="9">
        <v>0.5</v>
      </c>
      <c r="D49" s="10">
        <v>0.325</v>
      </c>
      <c r="E49" s="2">
        <v>0.3575</v>
      </c>
      <c r="F49" s="2">
        <v>0.3174</v>
      </c>
      <c r="G49" s="11">
        <f t="shared" si="1"/>
        <v>1.538461538</v>
      </c>
      <c r="H49" s="12">
        <f t="shared" si="2"/>
        <v>1.398601399</v>
      </c>
      <c r="I49" s="10">
        <v>0.1089</v>
      </c>
      <c r="J49" s="2">
        <v>0.2531</v>
      </c>
      <c r="K49" s="2">
        <v>0.0948</v>
      </c>
    </row>
    <row r="50">
      <c r="A50" s="1" t="s">
        <v>51</v>
      </c>
      <c r="B50" s="8" t="s">
        <v>48</v>
      </c>
      <c r="C50" s="9">
        <v>0.7</v>
      </c>
      <c r="D50" s="10">
        <v>0.3795</v>
      </c>
      <c r="E50" s="2">
        <v>0.2301</v>
      </c>
      <c r="F50" s="2">
        <v>0.3904</v>
      </c>
      <c r="G50" s="11">
        <f t="shared" si="1"/>
        <v>1.844532279</v>
      </c>
      <c r="H50" s="12">
        <f t="shared" si="2"/>
        <v>1.303780965</v>
      </c>
      <c r="I50" s="10">
        <v>0.0808</v>
      </c>
      <c r="J50" s="2">
        <v>0.0801</v>
      </c>
      <c r="K50" s="2">
        <v>0.1966</v>
      </c>
    </row>
    <row r="51">
      <c r="A51" s="1" t="s">
        <v>52</v>
      </c>
      <c r="B51" s="8" t="s">
        <v>53</v>
      </c>
      <c r="C51" s="9">
        <v>0.2</v>
      </c>
      <c r="D51" s="10">
        <v>0.1844</v>
      </c>
      <c r="E51" s="2">
        <v>0.4477</v>
      </c>
      <c r="F51" s="2">
        <v>0.3678</v>
      </c>
      <c r="G51" s="11">
        <f t="shared" si="1"/>
        <v>1.084598698</v>
      </c>
      <c r="H51" s="12">
        <f t="shared" si="2"/>
        <v>1.786910878</v>
      </c>
      <c r="I51" s="10">
        <v>0.046</v>
      </c>
      <c r="J51" s="2">
        <v>0.1717</v>
      </c>
      <c r="K51" s="2">
        <v>0.128</v>
      </c>
    </row>
    <row r="52">
      <c r="A52" s="1" t="s">
        <v>54</v>
      </c>
      <c r="B52" s="8" t="s">
        <v>53</v>
      </c>
      <c r="C52" s="9">
        <v>0.3</v>
      </c>
      <c r="D52" s="10">
        <v>0.205</v>
      </c>
      <c r="E52" s="2">
        <v>0.4195</v>
      </c>
      <c r="F52" s="2">
        <v>0.3755</v>
      </c>
      <c r="G52" s="11">
        <f t="shared" si="1"/>
        <v>1.463414634</v>
      </c>
      <c r="H52" s="12">
        <f t="shared" si="2"/>
        <v>1.668653159</v>
      </c>
      <c r="I52" s="10">
        <v>0.0856</v>
      </c>
      <c r="J52" s="2">
        <v>0.2757</v>
      </c>
      <c r="K52" s="2">
        <v>0.2833</v>
      </c>
    </row>
    <row r="53">
      <c r="A53" s="1" t="s">
        <v>55</v>
      </c>
      <c r="B53" s="8" t="s">
        <v>53</v>
      </c>
      <c r="C53" s="9">
        <v>0.5</v>
      </c>
      <c r="D53" s="10">
        <v>0.2621</v>
      </c>
      <c r="E53" s="2">
        <v>0.3624</v>
      </c>
      <c r="F53" s="2">
        <v>0.3754</v>
      </c>
      <c r="G53" s="11">
        <f t="shared" si="1"/>
        <v>1.907668829</v>
      </c>
      <c r="H53" s="12">
        <f t="shared" si="2"/>
        <v>1.379690949</v>
      </c>
      <c r="I53" s="10">
        <v>0.0677</v>
      </c>
      <c r="J53" s="2">
        <v>0.1933</v>
      </c>
      <c r="K53" s="2">
        <v>0.3385</v>
      </c>
    </row>
    <row r="54">
      <c r="A54" s="1" t="s">
        <v>56</v>
      </c>
      <c r="B54" s="8" t="s">
        <v>53</v>
      </c>
      <c r="C54" s="9">
        <v>0.7</v>
      </c>
      <c r="D54" s="10">
        <v>0.3588</v>
      </c>
      <c r="E54" s="2">
        <v>0.2765</v>
      </c>
      <c r="F54" s="2">
        <v>0.3646</v>
      </c>
      <c r="G54" s="11">
        <f t="shared" si="1"/>
        <v>1.950947603</v>
      </c>
      <c r="H54" s="12">
        <f t="shared" si="2"/>
        <v>1.084990958</v>
      </c>
      <c r="I54" s="10">
        <v>0.0535</v>
      </c>
      <c r="J54" s="2">
        <v>0.0719</v>
      </c>
      <c r="K54" s="2">
        <v>0.2626</v>
      </c>
    </row>
    <row r="55">
      <c r="A55" s="1" t="s">
        <v>57</v>
      </c>
      <c r="B55" s="8" t="s">
        <v>58</v>
      </c>
      <c r="C55" s="9">
        <v>0.2</v>
      </c>
      <c r="D55" s="10">
        <v>0.2321</v>
      </c>
      <c r="E55" s="2">
        <v>0.4547</v>
      </c>
      <c r="F55" s="2">
        <v>0.3131</v>
      </c>
      <c r="G55" s="11">
        <f t="shared" si="1"/>
        <v>0.8616975442</v>
      </c>
      <c r="H55" s="12">
        <f t="shared" si="2"/>
        <v>1.759401803</v>
      </c>
      <c r="I55" s="10">
        <v>0.0715</v>
      </c>
      <c r="J55" s="2">
        <v>0.1373</v>
      </c>
      <c r="K55" s="2">
        <v>0.0896</v>
      </c>
    </row>
    <row r="56">
      <c r="A56" s="1" t="s">
        <v>59</v>
      </c>
      <c r="B56" s="8" t="s">
        <v>58</v>
      </c>
      <c r="C56" s="9">
        <v>0.3</v>
      </c>
      <c r="D56" s="10">
        <v>0.2378</v>
      </c>
      <c r="E56" s="2">
        <v>0.4435</v>
      </c>
      <c r="F56" s="2">
        <v>0.3187</v>
      </c>
      <c r="G56" s="11">
        <f t="shared" si="1"/>
        <v>1.26156434</v>
      </c>
      <c r="H56" s="12">
        <f t="shared" si="2"/>
        <v>1.578354002</v>
      </c>
      <c r="I56" s="10">
        <v>0.0881</v>
      </c>
      <c r="J56" s="2">
        <v>0.4015</v>
      </c>
      <c r="K56" s="2">
        <v>0.078</v>
      </c>
    </row>
    <row r="57">
      <c r="A57" s="1" t="s">
        <v>60</v>
      </c>
      <c r="B57" s="8" t="s">
        <v>58</v>
      </c>
      <c r="C57" s="9">
        <v>0.5</v>
      </c>
      <c r="D57" s="10">
        <v>0.3093</v>
      </c>
      <c r="E57" s="2">
        <v>0.3691</v>
      </c>
      <c r="F57" s="2">
        <v>0.3217</v>
      </c>
      <c r="G57" s="11">
        <f t="shared" si="1"/>
        <v>1.616553508</v>
      </c>
      <c r="H57" s="12">
        <f t="shared" si="2"/>
        <v>1.354646437</v>
      </c>
      <c r="I57" s="10">
        <v>0.061</v>
      </c>
      <c r="J57" s="2">
        <v>0.1997</v>
      </c>
      <c r="K57" s="2">
        <v>0.1068</v>
      </c>
    </row>
    <row r="58">
      <c r="A58" s="1" t="s">
        <v>61</v>
      </c>
      <c r="B58" s="8" t="s">
        <v>58</v>
      </c>
      <c r="C58" s="9">
        <v>0.7</v>
      </c>
      <c r="D58" s="10">
        <v>0.4274</v>
      </c>
      <c r="E58" s="2">
        <v>0.2913</v>
      </c>
      <c r="F58" s="2">
        <v>0.2813</v>
      </c>
      <c r="G58" s="11">
        <f t="shared" si="1"/>
        <v>1.637810014</v>
      </c>
      <c r="H58" s="12">
        <f t="shared" si="2"/>
        <v>1.029866117</v>
      </c>
      <c r="I58" s="10">
        <v>0.169</v>
      </c>
      <c r="J58" s="2">
        <v>0.0809</v>
      </c>
      <c r="K58" s="2">
        <v>0.1029</v>
      </c>
    </row>
  </sheetData>
  <conditionalFormatting sqref="G23:H58">
    <cfRule type="colorScale" priority="1">
      <colorScale>
        <cfvo type="min"/>
        <cfvo type="formula" val="1"/>
        <cfvo type="max"/>
        <color rgb="FFE67C73"/>
        <color rgb="FFFFFFFF"/>
        <color rgb="FF3D85C6"/>
      </colorScale>
    </cfRule>
  </conditionalFormatting>
  <conditionalFormatting sqref="I23:K58">
    <cfRule type="colorScale" priority="2">
      <colorScale>
        <cfvo type="min"/>
        <cfvo type="max"/>
        <color rgb="FFFFFFFF"/>
        <color rgb="FFFFF2CC"/>
      </colorScale>
    </cfRule>
  </conditionalFormatting>
  <drawing r:id="rId1"/>
</worksheet>
</file>